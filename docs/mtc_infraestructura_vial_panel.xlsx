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oriega/GITHUB/Master Thesis ENA/docs/"/>
    </mc:Choice>
  </mc:AlternateContent>
  <xr:revisionPtr revIDLastSave="0" documentId="13_ncr:1_{862A85DC-8C64-444A-AC96-977563D77C08}" xr6:coauthVersionLast="47" xr6:coauthVersionMax="47" xr10:uidLastSave="{00000000-0000-0000-0000-000000000000}"/>
  <bookViews>
    <workbookView xWindow="28180" yWindow="980" windowWidth="20960" windowHeight="17160" xr2:uid="{5E679C7F-3B0A-5E4C-98C8-B5F7DDB7235F}"/>
  </bookViews>
  <sheets>
    <sheet name="PCT_PAV_VECINAL TOTAL" sheetId="1" r:id="rId1"/>
    <sheet name="PAV_VECINAL_2017" sheetId="2" r:id="rId2"/>
    <sheet name="PAV_VECINAL_2018" sheetId="3" r:id="rId3"/>
    <sheet name="PAV_VECINAL_2022" sheetId="4" r:id="rId4"/>
    <sheet name="PAV_VECINAL_202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9" i="5"/>
  <c r="J8" i="5"/>
  <c r="J7" i="5"/>
  <c r="J6" i="5"/>
  <c r="J5" i="5"/>
  <c r="J4" i="5"/>
  <c r="J22" i="3" l="1"/>
  <c r="C20" i="1"/>
  <c r="J28" i="4"/>
  <c r="D26" i="1" s="1"/>
  <c r="J27" i="4"/>
  <c r="D25" i="1" s="1"/>
  <c r="J26" i="4"/>
  <c r="D24" i="1" s="1"/>
  <c r="J25" i="4"/>
  <c r="D23" i="1" s="1"/>
  <c r="J24" i="4"/>
  <c r="D22" i="1" s="1"/>
  <c r="J23" i="4"/>
  <c r="D21" i="1" s="1"/>
  <c r="J22" i="4"/>
  <c r="D20" i="1" s="1"/>
  <c r="J21" i="4"/>
  <c r="D19" i="1" s="1"/>
  <c r="J20" i="4"/>
  <c r="D18" i="1" s="1"/>
  <c r="J19" i="4"/>
  <c r="D17" i="1" s="1"/>
  <c r="J18" i="4"/>
  <c r="D16" i="1" s="1"/>
  <c r="J17" i="4"/>
  <c r="D15" i="1" s="1"/>
  <c r="J16" i="4"/>
  <c r="D14" i="1" s="1"/>
  <c r="J15" i="4"/>
  <c r="D13" i="1" s="1"/>
  <c r="J14" i="4"/>
  <c r="D12" i="1" s="1"/>
  <c r="J13" i="4"/>
  <c r="D11" i="1" s="1"/>
  <c r="J12" i="4"/>
  <c r="D10" i="1" s="1"/>
  <c r="J11" i="4"/>
  <c r="D9" i="1" s="1"/>
  <c r="J9" i="4"/>
  <c r="D7" i="1" s="1"/>
  <c r="J8" i="4"/>
  <c r="D6" i="1" s="1"/>
  <c r="J7" i="4"/>
  <c r="D5" i="1" s="1"/>
  <c r="J6" i="4"/>
  <c r="D4" i="1" s="1"/>
  <c r="J5" i="4"/>
  <c r="D3" i="1" s="1"/>
  <c r="J4" i="4"/>
  <c r="D2" i="1" s="1"/>
  <c r="J28" i="3"/>
  <c r="C26" i="1" s="1"/>
  <c r="J27" i="3"/>
  <c r="C25" i="1" s="1"/>
  <c r="J26" i="3"/>
  <c r="C24" i="1" s="1"/>
  <c r="J25" i="3"/>
  <c r="C23" i="1" s="1"/>
  <c r="J24" i="3"/>
  <c r="C22" i="1" s="1"/>
  <c r="J23" i="3"/>
  <c r="C21" i="1" s="1"/>
  <c r="J21" i="3"/>
  <c r="C19" i="1" s="1"/>
  <c r="J20" i="3"/>
  <c r="C18" i="1" s="1"/>
  <c r="J19" i="3"/>
  <c r="C17" i="1" s="1"/>
  <c r="J18" i="3"/>
  <c r="C16" i="1" s="1"/>
  <c r="J17" i="3"/>
  <c r="C15" i="1" s="1"/>
  <c r="J16" i="3"/>
  <c r="C14" i="1" s="1"/>
  <c r="J15" i="3"/>
  <c r="C13" i="1" s="1"/>
  <c r="J14" i="3"/>
  <c r="C12" i="1" s="1"/>
  <c r="J13" i="3"/>
  <c r="C11" i="1" s="1"/>
  <c r="J12" i="3"/>
  <c r="C10" i="1" s="1"/>
  <c r="J11" i="3"/>
  <c r="C9" i="1" s="1"/>
  <c r="J9" i="3"/>
  <c r="C7" i="1" s="1"/>
  <c r="J8" i="3"/>
  <c r="C6" i="1" s="1"/>
  <c r="J7" i="3"/>
  <c r="C5" i="1" s="1"/>
  <c r="J6" i="3"/>
  <c r="C4" i="1" s="1"/>
  <c r="J5" i="3"/>
  <c r="C3" i="1" s="1"/>
  <c r="J4" i="3"/>
  <c r="C2" i="1" s="1"/>
  <c r="B5" i="1"/>
  <c r="B7" i="1"/>
  <c r="B10" i="1"/>
  <c r="B12" i="1"/>
  <c r="B14" i="1"/>
  <c r="B16" i="1"/>
  <c r="B18" i="1"/>
  <c r="B20" i="1"/>
  <c r="B22" i="1"/>
  <c r="B24" i="1"/>
  <c r="B26" i="1"/>
  <c r="J5" i="2"/>
  <c r="B3" i="1" s="1"/>
  <c r="J6" i="2"/>
  <c r="B4" i="1" s="1"/>
  <c r="J7" i="2"/>
  <c r="J8" i="2"/>
  <c r="B6" i="1" s="1"/>
  <c r="J9" i="2"/>
  <c r="J11" i="2"/>
  <c r="B9" i="1" s="1"/>
  <c r="J12" i="2"/>
  <c r="J13" i="2"/>
  <c r="B11" i="1" s="1"/>
  <c r="J14" i="2"/>
  <c r="J15" i="2"/>
  <c r="B13" i="1" s="1"/>
  <c r="J16" i="2"/>
  <c r="J17" i="2"/>
  <c r="B15" i="1" s="1"/>
  <c r="J18" i="2"/>
  <c r="J19" i="2"/>
  <c r="B17" i="1" s="1"/>
  <c r="J20" i="2"/>
  <c r="J21" i="2"/>
  <c r="B19" i="1" s="1"/>
  <c r="J22" i="2"/>
  <c r="J23" i="2"/>
  <c r="B21" i="1" s="1"/>
  <c r="J24" i="2"/>
  <c r="J25" i="2"/>
  <c r="B23" i="1" s="1"/>
  <c r="J26" i="2"/>
  <c r="J27" i="2"/>
  <c r="B25" i="1" s="1"/>
  <c r="J28" i="2"/>
  <c r="J4" i="2"/>
  <c r="B2" i="1" s="1"/>
</calcChain>
</file>

<file path=xl/sharedStrings.xml><?xml version="1.0" encoding="utf-8"?>
<sst xmlns="http://schemas.openxmlformats.org/spreadsheetml/2006/main" count="183" uniqueCount="42">
  <si>
    <t>DEPARTAMENTO</t>
  </si>
  <si>
    <t>PCT_PAV_VECINAL_2017</t>
  </si>
  <si>
    <t>PCT_PAV_VECINAL_2018</t>
  </si>
  <si>
    <t>PCT_PAV_VECINAL_2022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</si>
  <si>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</si>
  <si>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</si>
  <si>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</si>
  <si>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</si>
  <si>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</si>
  <si>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</si>
  <si>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</si>
  <si>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</si>
  <si>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</si>
  <si>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</si>
  <si>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</si>
  <si>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</si>
  <si>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</si>
  <si>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</si>
  <si>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</si>
  <si>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</si>
  <si>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</si>
  <si>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</si>
  <si>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</si>
  <si>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</si>
  <si>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</si>
  <si>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</si>
  <si>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</si>
  <si>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</si>
  <si>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</si>
  <si>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PAVIMENTADA</t>
  </si>
  <si>
    <t>EXISTENTE POR TIPO DE SUPERFICIE DE RODADURA (KM)</t>
  </si>
  <si>
    <t>AFIRMADA</t>
  </si>
  <si>
    <t>SIN AFIRMAR</t>
  </si>
  <si>
    <t>TROCHA</t>
  </si>
  <si>
    <t>SUBTOTAL</t>
  </si>
  <si>
    <t>NO PAVIMENTADA</t>
  </si>
  <si>
    <t>TOTAL EXISTENTE</t>
  </si>
  <si>
    <t>PROYECTADA</t>
  </si>
  <si>
    <t>TOTAL</t>
  </si>
  <si>
    <t>-</t>
  </si>
  <si>
    <t>% PAVIMENTADO</t>
  </si>
  <si>
    <t>PCT_PAV_VECINAL_2023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</si>
</sst>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D505-2354-984B-93D6-9C673602B522}">
  <dimension ref="A1:E26"/>
  <sheetViews>
    <sheetView tabSelected="1" workbookViewId="0">
      <selection activeCell="C15" sqref="C15"/>
    </sheetView>
  </sheetViews>
  <sheetFormatPr baseColWidth="10" defaultRowHeight="16" x14ac:dyDescent="0.2"/>
  <cols>
    <col min="1" max="1" width="14.5" bestFit="1" customWidth="1"/>
    <col min="2" max="5" width="21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41</v>
      </c>
    </row>
    <row r="2" spans="1:5" x14ac:dyDescent="0.2">
      <c r="A2" t="s">
        <v>4</v>
      </c>
      <c r="B2" s="1">
        <f>ROUND(PAV_VECINAL_2017!J4, 2)</f>
        <v>0</v>
      </c>
      <c r="C2" s="1">
        <f>ROUND(PAV_VECINAL_2018!J4, 2)</f>
        <v>0</v>
      </c>
      <c r="D2" s="1">
        <f>ROUND(PAV_VECINAL_2022!J4, 2)</f>
        <v>0</v>
      </c>
      <c r="E2" s="1">
        <f>ROUND(PAV_VECINAL_2023!J4, 2)</f>
        <v>0</v>
      </c>
    </row>
    <row r="3" spans="1:5" x14ac:dyDescent="0.2">
      <c r="A3" t="s">
        <v>5</v>
      </c>
      <c r="B3" s="1">
        <f>ROUND(PAV_VECINAL_2017!J5, 2)</f>
        <v>1.5</v>
      </c>
      <c r="C3" s="1">
        <f>ROUND(PAV_VECINAL_2018!J5, 2)</f>
        <v>1.47</v>
      </c>
      <c r="D3" s="1">
        <f>ROUND(PAV_VECINAL_2022!J5, 2)</f>
        <v>1.65</v>
      </c>
      <c r="E3" s="1">
        <f>ROUND(PAV_VECINAL_2023!J5, 2)</f>
        <v>2.34</v>
      </c>
    </row>
    <row r="4" spans="1:5" x14ac:dyDescent="0.2">
      <c r="A4" t="s">
        <v>6</v>
      </c>
      <c r="B4" s="1">
        <f>ROUND(PAV_VECINAL_2017!J6, 2)</f>
        <v>0.15</v>
      </c>
      <c r="C4" s="1">
        <f>ROUND(PAV_VECINAL_2018!J6, 2)</f>
        <v>0.15</v>
      </c>
      <c r="D4" s="1">
        <f>ROUND(PAV_VECINAL_2022!J6, 2)</f>
        <v>0.2</v>
      </c>
      <c r="E4" s="1">
        <f>ROUND(PAV_VECINAL_2023!J6, 2)</f>
        <v>2.23</v>
      </c>
    </row>
    <row r="5" spans="1:5" x14ac:dyDescent="0.2">
      <c r="A5" t="s">
        <v>7</v>
      </c>
      <c r="B5" s="1">
        <f>ROUND(PAV_VECINAL_2017!J7, 2)</f>
        <v>6.51</v>
      </c>
      <c r="C5" s="1">
        <f>ROUND(PAV_VECINAL_2018!J7, 2)</f>
        <v>6.53</v>
      </c>
      <c r="D5" s="1">
        <f>ROUND(PAV_VECINAL_2022!J7, 2)</f>
        <v>8.73</v>
      </c>
      <c r="E5" s="1">
        <f>ROUND(PAV_VECINAL_2023!J7, 2)</f>
        <v>8.75</v>
      </c>
    </row>
    <row r="6" spans="1:5" x14ac:dyDescent="0.2">
      <c r="A6" t="s">
        <v>8</v>
      </c>
      <c r="B6" s="1">
        <f>ROUND(PAV_VECINAL_2017!J8, 2)</f>
        <v>0.22</v>
      </c>
      <c r="C6" s="1">
        <f>ROUND(PAV_VECINAL_2018!J8, 2)</f>
        <v>0.22</v>
      </c>
      <c r="D6" s="1">
        <f>ROUND(PAV_VECINAL_2022!J8, 2)</f>
        <v>2.39</v>
      </c>
      <c r="E6" s="1">
        <f>ROUND(PAV_VECINAL_2023!J8, 2)</f>
        <v>2.57</v>
      </c>
    </row>
    <row r="7" spans="1:5" x14ac:dyDescent="0.2">
      <c r="A7" t="s">
        <v>9</v>
      </c>
      <c r="B7" s="1">
        <f>ROUND(PAV_VECINAL_2017!J9, 2)</f>
        <v>0.34</v>
      </c>
      <c r="C7" s="1">
        <f>ROUND(PAV_VECINAL_2018!J9, 2)</f>
        <v>0.33</v>
      </c>
      <c r="D7" s="1">
        <f>ROUND(PAV_VECINAL_2022!J9, 2)</f>
        <v>0.61</v>
      </c>
      <c r="E7" s="1">
        <f>ROUND(PAV_VECINAL_2023!J9, 2)</f>
        <v>1.88</v>
      </c>
    </row>
    <row r="8" spans="1:5" x14ac:dyDescent="0.2">
      <c r="A8" t="s">
        <v>10</v>
      </c>
      <c r="B8" s="1"/>
      <c r="C8" s="1"/>
      <c r="D8" s="1"/>
      <c r="E8" s="1"/>
    </row>
    <row r="9" spans="1:5" x14ac:dyDescent="0.2">
      <c r="A9" t="s">
        <v>11</v>
      </c>
      <c r="B9" s="1">
        <f>ROUND(PAV_VECINAL_2017!J11, 2)</f>
        <v>1.1599999999999999</v>
      </c>
      <c r="C9" s="1">
        <f>ROUND(PAV_VECINAL_2018!J11, 2)</f>
        <v>0.94</v>
      </c>
      <c r="D9" s="1">
        <f>ROUND(PAV_VECINAL_2022!J11, 2)</f>
        <v>2.59</v>
      </c>
      <c r="E9" s="1">
        <f>ROUND(PAV_VECINAL_2023!J11, 2)</f>
        <v>2.83</v>
      </c>
    </row>
    <row r="10" spans="1:5" x14ac:dyDescent="0.2">
      <c r="A10" t="s">
        <v>12</v>
      </c>
      <c r="B10" s="1">
        <f>ROUND(PAV_VECINAL_2017!J12, 2)</f>
        <v>0.01</v>
      </c>
      <c r="C10" s="1">
        <f>ROUND(PAV_VECINAL_2018!J12, 2)</f>
        <v>0.01</v>
      </c>
      <c r="D10" s="1">
        <f>ROUND(PAV_VECINAL_2022!J12, 2)</f>
        <v>0.01</v>
      </c>
      <c r="E10" s="1">
        <f>ROUND(PAV_VECINAL_2023!J12, 2)</f>
        <v>0.46</v>
      </c>
    </row>
    <row r="11" spans="1:5" x14ac:dyDescent="0.2">
      <c r="A11" t="s">
        <v>13</v>
      </c>
      <c r="B11" s="1">
        <f>ROUND(PAV_VECINAL_2017!J13, 2)</f>
        <v>7.0000000000000007E-2</v>
      </c>
      <c r="C11" s="1">
        <f>ROUND(PAV_VECINAL_2018!J13, 2)</f>
        <v>7.0000000000000007E-2</v>
      </c>
      <c r="D11" s="1">
        <f>ROUND(PAV_VECINAL_2022!J13, 2)</f>
        <v>2.2200000000000002</v>
      </c>
      <c r="E11" s="1">
        <f>ROUND(PAV_VECINAL_2023!J13, 2)</f>
        <v>2.52</v>
      </c>
    </row>
    <row r="12" spans="1:5" x14ac:dyDescent="0.2">
      <c r="A12" t="s">
        <v>14</v>
      </c>
      <c r="B12" s="1">
        <f>ROUND(PAV_VECINAL_2017!J14, 2)</f>
        <v>4.01</v>
      </c>
      <c r="C12" s="1">
        <f>ROUND(PAV_VECINAL_2018!J14, 2)</f>
        <v>3.97</v>
      </c>
      <c r="D12" s="1">
        <f>ROUND(PAV_VECINAL_2022!J14, 2)</f>
        <v>9.27</v>
      </c>
      <c r="E12" s="1">
        <f>ROUND(PAV_VECINAL_2023!J14, 2)</f>
        <v>9.5299999999999994</v>
      </c>
    </row>
    <row r="13" spans="1:5" x14ac:dyDescent="0.2">
      <c r="A13" t="s">
        <v>15</v>
      </c>
      <c r="B13" s="1">
        <f>ROUND(PAV_VECINAL_2017!J15, 2)</f>
        <v>2.4</v>
      </c>
      <c r="C13" s="1">
        <f>ROUND(PAV_VECINAL_2018!J15, 2)</f>
        <v>2.34</v>
      </c>
      <c r="D13" s="1">
        <f>ROUND(PAV_VECINAL_2022!J15, 2)</f>
        <v>3.72</v>
      </c>
      <c r="E13" s="1">
        <f>ROUND(PAV_VECINAL_2023!J15, 2)</f>
        <v>3.71</v>
      </c>
    </row>
    <row r="14" spans="1:5" x14ac:dyDescent="0.2">
      <c r="A14" t="s">
        <v>16</v>
      </c>
      <c r="B14" s="1">
        <f>ROUND(PAV_VECINAL_2017!J16, 2)</f>
        <v>2.8</v>
      </c>
      <c r="C14" s="1">
        <f>ROUND(PAV_VECINAL_2018!J16, 2)</f>
        <v>2.78</v>
      </c>
      <c r="D14" s="1">
        <f>ROUND(PAV_VECINAL_2022!J16, 2)</f>
        <v>2.89</v>
      </c>
      <c r="E14" s="1">
        <f>ROUND(PAV_VECINAL_2023!J16, 2)</f>
        <v>5.0599999999999996</v>
      </c>
    </row>
    <row r="15" spans="1:5" x14ac:dyDescent="0.2">
      <c r="A15" t="s">
        <v>17</v>
      </c>
      <c r="B15" s="1">
        <f>ROUND(PAV_VECINAL_2017!J17, 2)</f>
        <v>1.34</v>
      </c>
      <c r="C15" s="1">
        <f>ROUND(PAV_VECINAL_2018!J17, 2)</f>
        <v>1.34</v>
      </c>
      <c r="D15" s="1">
        <f>ROUND(PAV_VECINAL_2022!J17, 2)</f>
        <v>1.34</v>
      </c>
      <c r="E15" s="1">
        <f>ROUND(PAV_VECINAL_2023!J17, 2)</f>
        <v>1.76</v>
      </c>
    </row>
    <row r="16" spans="1:5" x14ac:dyDescent="0.2">
      <c r="A16" t="s">
        <v>18</v>
      </c>
      <c r="B16" s="1">
        <f>ROUND(PAV_VECINAL_2017!J18, 2)</f>
        <v>4.03</v>
      </c>
      <c r="C16" s="1">
        <f>ROUND(PAV_VECINAL_2018!J18, 2)</f>
        <v>3.91</v>
      </c>
      <c r="D16" s="1">
        <f>ROUND(PAV_VECINAL_2022!J18, 2)</f>
        <v>3.71</v>
      </c>
      <c r="E16" s="1">
        <f>ROUND(PAV_VECINAL_2023!J18, 2)</f>
        <v>3.7</v>
      </c>
    </row>
    <row r="17" spans="1:5" x14ac:dyDescent="0.2">
      <c r="A17" t="s">
        <v>19</v>
      </c>
      <c r="B17" s="1">
        <f>ROUND(PAV_VECINAL_2017!J19, 2)</f>
        <v>4.3499999999999996</v>
      </c>
      <c r="C17" s="1">
        <f>ROUND(PAV_VECINAL_2018!J19, 2)</f>
        <v>4.29</v>
      </c>
      <c r="D17" s="1">
        <f>ROUND(PAV_VECINAL_2022!J19, 2)</f>
        <v>13.34</v>
      </c>
      <c r="E17" s="1">
        <f>ROUND(PAV_VECINAL_2023!J19, 2)</f>
        <v>13.34</v>
      </c>
    </row>
    <row r="18" spans="1:5" x14ac:dyDescent="0.2">
      <c r="A18" t="s">
        <v>20</v>
      </c>
      <c r="B18" s="1">
        <f>ROUND(PAV_VECINAL_2017!J20, 2)</f>
        <v>0.37</v>
      </c>
      <c r="C18" s="1">
        <f>ROUND(PAV_VECINAL_2018!J20, 2)</f>
        <v>0.49</v>
      </c>
      <c r="D18" s="1">
        <f>ROUND(PAV_VECINAL_2022!J20, 2)</f>
        <v>0.49</v>
      </c>
      <c r="E18" s="1">
        <f>ROUND(PAV_VECINAL_2023!J20, 2)</f>
        <v>2.5299999999999998</v>
      </c>
    </row>
    <row r="19" spans="1:5" x14ac:dyDescent="0.2">
      <c r="A19" t="s">
        <v>21</v>
      </c>
      <c r="B19" s="1">
        <f>ROUND(PAV_VECINAL_2017!J21, 2)</f>
        <v>7.87</v>
      </c>
      <c r="C19" s="1">
        <f>ROUND(PAV_VECINAL_2018!J21, 2)</f>
        <v>7.89</v>
      </c>
      <c r="D19" s="1">
        <f>ROUND(PAV_VECINAL_2022!J21, 2)</f>
        <v>7.01</v>
      </c>
      <c r="E19" s="1">
        <f>ROUND(PAV_VECINAL_2023!J21, 2)</f>
        <v>9.81</v>
      </c>
    </row>
    <row r="20" spans="1:5" x14ac:dyDescent="0.2">
      <c r="A20" t="s">
        <v>22</v>
      </c>
      <c r="B20" s="1">
        <f>ROUND(PAV_VECINAL_2017!J22, 2)</f>
        <v>0</v>
      </c>
      <c r="C20" s="1">
        <f>ROUND(PAV_VECINAL_2018!J22, 2)</f>
        <v>0</v>
      </c>
      <c r="D20" s="1">
        <f>ROUND(PAV_VECINAL_2022!J22, 2)</f>
        <v>0.63</v>
      </c>
      <c r="E20" s="1">
        <f>ROUND(PAV_VECINAL_2023!J22, 2)</f>
        <v>0.64</v>
      </c>
    </row>
    <row r="21" spans="1:5" x14ac:dyDescent="0.2">
      <c r="A21" t="s">
        <v>23</v>
      </c>
      <c r="B21" s="1">
        <f>ROUND(PAV_VECINAL_2017!J23, 2)</f>
        <v>2.58</v>
      </c>
      <c r="C21" s="1">
        <f>ROUND(PAV_VECINAL_2018!J23, 2)</f>
        <v>2.58</v>
      </c>
      <c r="D21" s="1">
        <f>ROUND(PAV_VECINAL_2022!J23, 2)</f>
        <v>5.08</v>
      </c>
      <c r="E21" s="1">
        <f>ROUND(PAV_VECINAL_2023!J23, 2)</f>
        <v>5.8</v>
      </c>
    </row>
    <row r="22" spans="1:5" x14ac:dyDescent="0.2">
      <c r="A22" t="s">
        <v>24</v>
      </c>
      <c r="B22" s="1">
        <f>ROUND(PAV_VECINAL_2017!J24, 2)</f>
        <v>0.49</v>
      </c>
      <c r="C22" s="1">
        <f>ROUND(PAV_VECINAL_2018!J24, 2)</f>
        <v>0.48</v>
      </c>
      <c r="D22" s="1">
        <f>ROUND(PAV_VECINAL_2022!J24, 2)</f>
        <v>0.93</v>
      </c>
      <c r="E22" s="1">
        <f>ROUND(PAV_VECINAL_2023!J24, 2)</f>
        <v>1.55</v>
      </c>
    </row>
    <row r="23" spans="1:5" x14ac:dyDescent="0.2">
      <c r="A23" t="s">
        <v>25</v>
      </c>
      <c r="B23" s="1">
        <f>ROUND(PAV_VECINAL_2017!J25, 2)</f>
        <v>0</v>
      </c>
      <c r="C23" s="1">
        <f>ROUND(PAV_VECINAL_2018!J25, 2)</f>
        <v>0</v>
      </c>
      <c r="D23" s="1">
        <f>ROUND(PAV_VECINAL_2022!J25, 2)</f>
        <v>7.0000000000000007E-2</v>
      </c>
      <c r="E23" s="1">
        <f>ROUND(PAV_VECINAL_2023!J25, 2)</f>
        <v>3.2</v>
      </c>
    </row>
    <row r="24" spans="1:5" x14ac:dyDescent="0.2">
      <c r="A24" t="s">
        <v>26</v>
      </c>
      <c r="B24" s="1">
        <f>ROUND(PAV_VECINAL_2017!J26, 2)</f>
        <v>11.72</v>
      </c>
      <c r="C24" s="1">
        <f>ROUND(PAV_VECINAL_2018!J26, 2)</f>
        <v>11.69</v>
      </c>
      <c r="D24" s="1">
        <f>ROUND(PAV_VECINAL_2022!J26, 2)</f>
        <v>15.21</v>
      </c>
      <c r="E24" s="1">
        <f>ROUND(PAV_VECINAL_2023!J26, 2)</f>
        <v>15.39</v>
      </c>
    </row>
    <row r="25" spans="1:5" x14ac:dyDescent="0.2">
      <c r="A25" t="s">
        <v>27</v>
      </c>
      <c r="B25" s="1">
        <f>ROUND(PAV_VECINAL_2017!J27, 2)</f>
        <v>1.8</v>
      </c>
      <c r="C25" s="1">
        <f>ROUND(PAV_VECINAL_2018!J27, 2)</f>
        <v>1.64</v>
      </c>
      <c r="D25" s="1">
        <f>ROUND(PAV_VECINAL_2022!J27, 2)</f>
        <v>2.5</v>
      </c>
      <c r="E25" s="1">
        <f>ROUND(PAV_VECINAL_2023!J27, 2)</f>
        <v>10.28</v>
      </c>
    </row>
    <row r="26" spans="1:5" x14ac:dyDescent="0.2">
      <c r="A26" t="s">
        <v>28</v>
      </c>
      <c r="B26" s="1">
        <f>ROUND(PAV_VECINAL_2017!J28, 2)</f>
        <v>0.26</v>
      </c>
      <c r="C26" s="1">
        <f>ROUND(PAV_VECINAL_2018!J28, 2)</f>
        <v>0.26</v>
      </c>
      <c r="D26" s="1">
        <f>ROUND(PAV_VECINAL_2022!J28, 2)</f>
        <v>0.26</v>
      </c>
      <c r="E26" s="1">
        <f>ROUND(PAV_VECINAL_2023!J28, 2)</f>
        <v>0.26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7BD6-5D7A-4045-8064-B32D55FD482F}">
  <dimension ref="A1:J28"/>
  <sheetViews>
    <sheetView zoomScale="90" zoomScaleNormal="90" workbookViewId="0">
      <selection activeCell="I4" sqref="I4"/>
    </sheetView>
  </sheetViews>
  <sheetFormatPr baseColWidth="10" defaultRowHeight="16" x14ac:dyDescent="0.2"/>
  <cols>
    <col min="1" max="1" width="17" customWidth="1"/>
    <col min="2" max="2" width="15.83203125" customWidth="1"/>
    <col min="7" max="7" width="16.1640625" customWidth="1"/>
    <col min="8" max="8" width="12.83203125" customWidth="1"/>
    <col min="10" max="10" width="14.83203125" bestFit="1" customWidth="1"/>
  </cols>
  <sheetData>
    <row r="1" spans="1:10" x14ac:dyDescent="0.2">
      <c r="A1" s="2" t="s">
        <v>0</v>
      </c>
      <c r="B1" s="2" t="s">
        <v>30</v>
      </c>
      <c r="C1" s="2"/>
      <c r="D1" s="2"/>
      <c r="E1" s="2"/>
      <c r="F1" s="2"/>
      <c r="G1" s="2"/>
      <c r="H1" s="2" t="s">
        <v>37</v>
      </c>
      <c r="I1" s="2" t="s">
        <v>38</v>
      </c>
    </row>
    <row r="2" spans="1:10" x14ac:dyDescent="0.2">
      <c r="A2" s="2"/>
      <c r="B2" s="2" t="s">
        <v>29</v>
      </c>
      <c r="C2" s="2" t="s">
        <v>35</v>
      </c>
      <c r="D2" s="2"/>
      <c r="E2" s="2"/>
      <c r="F2" s="2"/>
      <c r="G2" s="2" t="s">
        <v>36</v>
      </c>
      <c r="H2" s="2"/>
      <c r="I2" s="2"/>
    </row>
    <row r="3" spans="1:10" x14ac:dyDescent="0.2">
      <c r="A3" s="2"/>
      <c r="B3" s="2"/>
      <c r="C3" t="s">
        <v>31</v>
      </c>
      <c r="D3" t="s">
        <v>32</v>
      </c>
      <c r="E3" t="s">
        <v>33</v>
      </c>
      <c r="F3" t="s">
        <v>34</v>
      </c>
      <c r="G3" s="2"/>
      <c r="H3" s="2"/>
      <c r="I3" s="2"/>
      <c r="J3" t="s">
        <v>40</v>
      </c>
    </row>
    <row r="4" spans="1:10" x14ac:dyDescent="0.2">
      <c r="A4" t="s">
        <v>4</v>
      </c>
      <c r="B4">
        <v>0</v>
      </c>
      <c r="I4">
        <v>1738.9</v>
      </c>
      <c r="J4">
        <f>B4/I4*100</f>
        <v>0</v>
      </c>
    </row>
    <row r="5" spans="1:10" x14ac:dyDescent="0.2">
      <c r="A5" t="s">
        <v>5</v>
      </c>
      <c r="B5">
        <v>115.7</v>
      </c>
      <c r="I5">
        <v>7708.6</v>
      </c>
      <c r="J5">
        <f t="shared" ref="J5:J28" si="0">B5/I5*100</f>
        <v>1.5009210492177567</v>
      </c>
    </row>
    <row r="6" spans="1:10" x14ac:dyDescent="0.2">
      <c r="A6" t="s">
        <v>6</v>
      </c>
      <c r="B6">
        <v>7.3</v>
      </c>
      <c r="I6">
        <v>4952.7</v>
      </c>
      <c r="J6">
        <f t="shared" si="0"/>
        <v>0.14739435055626224</v>
      </c>
    </row>
    <row r="7" spans="1:10" x14ac:dyDescent="0.2">
      <c r="A7" t="s">
        <v>7</v>
      </c>
      <c r="B7">
        <v>402.3</v>
      </c>
      <c r="I7">
        <v>6175.4</v>
      </c>
      <c r="J7">
        <f t="shared" si="0"/>
        <v>6.514557761440555</v>
      </c>
    </row>
    <row r="8" spans="1:10" x14ac:dyDescent="0.2">
      <c r="A8" t="s">
        <v>8</v>
      </c>
      <c r="B8">
        <v>18.899999999999999</v>
      </c>
      <c r="I8">
        <v>8706.5</v>
      </c>
      <c r="J8">
        <f t="shared" si="0"/>
        <v>0.21707919370585194</v>
      </c>
    </row>
    <row r="9" spans="1:10" x14ac:dyDescent="0.2">
      <c r="A9" t="s">
        <v>9</v>
      </c>
      <c r="B9">
        <v>41</v>
      </c>
      <c r="I9">
        <v>12129.3</v>
      </c>
      <c r="J9">
        <f t="shared" si="0"/>
        <v>0.33802445318361324</v>
      </c>
    </row>
    <row r="10" spans="1:10" x14ac:dyDescent="0.2">
      <c r="A10" t="s">
        <v>10</v>
      </c>
      <c r="B10" t="s">
        <v>39</v>
      </c>
      <c r="I10" t="s">
        <v>39</v>
      </c>
    </row>
    <row r="11" spans="1:10" x14ac:dyDescent="0.2">
      <c r="A11" t="s">
        <v>11</v>
      </c>
      <c r="B11">
        <v>124.7</v>
      </c>
      <c r="I11">
        <v>10734.1</v>
      </c>
      <c r="J11">
        <f t="shared" si="0"/>
        <v>1.1617182623601419</v>
      </c>
    </row>
    <row r="12" spans="1:10" x14ac:dyDescent="0.2">
      <c r="A12" t="s">
        <v>12</v>
      </c>
      <c r="B12">
        <v>0.7</v>
      </c>
      <c r="I12">
        <v>4826.3999999999996</v>
      </c>
      <c r="J12">
        <f t="shared" si="0"/>
        <v>1.4503563732802918E-2</v>
      </c>
    </row>
    <row r="13" spans="1:10" x14ac:dyDescent="0.2">
      <c r="A13" t="s">
        <v>13</v>
      </c>
      <c r="B13">
        <v>4.2</v>
      </c>
      <c r="I13">
        <v>5645.8</v>
      </c>
      <c r="J13">
        <f t="shared" si="0"/>
        <v>7.4391583123738003E-2</v>
      </c>
    </row>
    <row r="14" spans="1:10" x14ac:dyDescent="0.2">
      <c r="A14" t="s">
        <v>14</v>
      </c>
      <c r="B14">
        <v>82</v>
      </c>
      <c r="I14">
        <v>2042.7</v>
      </c>
      <c r="J14">
        <f t="shared" si="0"/>
        <v>4.0142948058941599</v>
      </c>
    </row>
    <row r="15" spans="1:10" x14ac:dyDescent="0.2">
      <c r="A15" t="s">
        <v>15</v>
      </c>
      <c r="B15">
        <v>219.4</v>
      </c>
      <c r="I15">
        <v>9148.2000000000007</v>
      </c>
      <c r="J15">
        <f t="shared" si="0"/>
        <v>2.3982860016178043</v>
      </c>
    </row>
    <row r="16" spans="1:10" x14ac:dyDescent="0.2">
      <c r="A16" t="s">
        <v>16</v>
      </c>
      <c r="B16">
        <v>155.4</v>
      </c>
      <c r="I16">
        <v>5559.9</v>
      </c>
      <c r="J16">
        <f t="shared" si="0"/>
        <v>2.7950142988183244</v>
      </c>
    </row>
    <row r="17" spans="1:10" x14ac:dyDescent="0.2">
      <c r="A17" t="s">
        <v>17</v>
      </c>
      <c r="B17">
        <v>27.6</v>
      </c>
      <c r="I17">
        <v>2056.6</v>
      </c>
      <c r="J17">
        <f t="shared" si="0"/>
        <v>1.3420208110473599</v>
      </c>
    </row>
    <row r="18" spans="1:10" x14ac:dyDescent="0.2">
      <c r="A18" t="s">
        <v>18</v>
      </c>
      <c r="B18">
        <v>172</v>
      </c>
      <c r="I18">
        <v>4266.8</v>
      </c>
      <c r="J18">
        <f t="shared" si="0"/>
        <v>4.031124027374144</v>
      </c>
    </row>
    <row r="19" spans="1:10" x14ac:dyDescent="0.2">
      <c r="A19" t="s">
        <v>19</v>
      </c>
      <c r="B19">
        <v>19.100000000000001</v>
      </c>
      <c r="I19">
        <v>439.5</v>
      </c>
      <c r="J19">
        <f t="shared" si="0"/>
        <v>4.3458475540386807</v>
      </c>
    </row>
    <row r="20" spans="1:10" x14ac:dyDescent="0.2">
      <c r="A20" t="s">
        <v>20</v>
      </c>
      <c r="B20">
        <v>5.0999999999999996</v>
      </c>
      <c r="I20">
        <v>1383.5</v>
      </c>
      <c r="J20">
        <f t="shared" si="0"/>
        <v>0.36863028550777011</v>
      </c>
    </row>
    <row r="21" spans="1:10" x14ac:dyDescent="0.2">
      <c r="A21" t="s">
        <v>21</v>
      </c>
      <c r="B21">
        <v>99.8</v>
      </c>
      <c r="I21">
        <v>1268.8</v>
      </c>
      <c r="J21">
        <f t="shared" si="0"/>
        <v>7.8656998738965953</v>
      </c>
    </row>
    <row r="22" spans="1:10" x14ac:dyDescent="0.2">
      <c r="A22" t="s">
        <v>22</v>
      </c>
      <c r="B22">
        <v>0</v>
      </c>
      <c r="I22">
        <v>2087.5</v>
      </c>
      <c r="J22">
        <f t="shared" si="0"/>
        <v>0</v>
      </c>
    </row>
    <row r="23" spans="1:10" x14ac:dyDescent="0.2">
      <c r="A23" t="s">
        <v>23</v>
      </c>
      <c r="B23">
        <v>171.2</v>
      </c>
      <c r="I23">
        <v>6634.2</v>
      </c>
      <c r="J23">
        <f t="shared" si="0"/>
        <v>2.5805673630580928</v>
      </c>
    </row>
    <row r="24" spans="1:10" x14ac:dyDescent="0.2">
      <c r="A24" t="s">
        <v>24</v>
      </c>
      <c r="B24">
        <v>43</v>
      </c>
      <c r="I24">
        <v>8826.4</v>
      </c>
      <c r="J24">
        <f t="shared" si="0"/>
        <v>0.48717483911900661</v>
      </c>
    </row>
    <row r="25" spans="1:10" x14ac:dyDescent="0.2">
      <c r="A25" t="s">
        <v>25</v>
      </c>
      <c r="B25">
        <v>0.1</v>
      </c>
      <c r="I25">
        <v>3460.7</v>
      </c>
      <c r="J25">
        <f t="shared" si="0"/>
        <v>2.889588811512122E-3</v>
      </c>
    </row>
    <row r="26" spans="1:10" x14ac:dyDescent="0.2">
      <c r="A26" t="s">
        <v>26</v>
      </c>
      <c r="B26">
        <v>163.1</v>
      </c>
      <c r="I26">
        <v>1392.1</v>
      </c>
      <c r="J26">
        <f t="shared" si="0"/>
        <v>11.716112348250844</v>
      </c>
    </row>
    <row r="27" spans="1:10" x14ac:dyDescent="0.2">
      <c r="A27" t="s">
        <v>27</v>
      </c>
      <c r="B27">
        <v>9.3000000000000007</v>
      </c>
      <c r="I27">
        <v>516.1</v>
      </c>
      <c r="J27">
        <f t="shared" si="0"/>
        <v>1.8019763611703159</v>
      </c>
    </row>
    <row r="28" spans="1:10" x14ac:dyDescent="0.2">
      <c r="A28" t="s">
        <v>28</v>
      </c>
      <c r="B28">
        <v>2.2999999999999998</v>
      </c>
      <c r="I28">
        <v>898</v>
      </c>
      <c r="J28">
        <f t="shared" si="0"/>
        <v>0.25612472160356348</v>
      </c>
    </row>
  </sheetData>
  <mergeCells count="7">
    <mergeCell ref="I1:I3"/>
    <mergeCell ref="C2:F2"/>
    <mergeCell ref="B2:B3"/>
    <mergeCell ref="A1:A3"/>
    <mergeCell ref="G2:G3"/>
    <mergeCell ref="B1:G1"/>
    <mergeCell ref="H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273D-8012-0042-8291-50200268A9E5}">
  <dimension ref="A1:J28"/>
  <sheetViews>
    <sheetView workbookViewId="0">
      <selection activeCell="J22" sqref="J22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30</v>
      </c>
      <c r="C1" s="2"/>
      <c r="D1" s="2"/>
      <c r="E1" s="2"/>
      <c r="F1" s="2"/>
      <c r="G1" s="2"/>
      <c r="H1" s="2" t="s">
        <v>37</v>
      </c>
      <c r="I1" s="2" t="s">
        <v>38</v>
      </c>
    </row>
    <row r="2" spans="1:10" x14ac:dyDescent="0.2">
      <c r="A2" s="2"/>
      <c r="B2" s="2" t="s">
        <v>29</v>
      </c>
      <c r="C2" s="2" t="s">
        <v>35</v>
      </c>
      <c r="D2" s="2"/>
      <c r="E2" s="2"/>
      <c r="F2" s="2"/>
      <c r="G2" s="2" t="s">
        <v>36</v>
      </c>
      <c r="H2" s="2"/>
      <c r="I2" s="2"/>
    </row>
    <row r="3" spans="1:10" x14ac:dyDescent="0.2">
      <c r="A3" s="2"/>
      <c r="B3" s="2"/>
      <c r="C3" t="s">
        <v>31</v>
      </c>
      <c r="D3" t="s">
        <v>32</v>
      </c>
      <c r="E3" t="s">
        <v>33</v>
      </c>
      <c r="F3" t="s">
        <v>34</v>
      </c>
      <c r="G3" s="2"/>
      <c r="H3" s="2"/>
      <c r="I3" s="2"/>
      <c r="J3" t="s">
        <v>40</v>
      </c>
    </row>
    <row r="4" spans="1:10" x14ac:dyDescent="0.2">
      <c r="A4" t="s">
        <v>4</v>
      </c>
      <c r="B4">
        <v>0</v>
      </c>
      <c r="I4">
        <v>1742.9</v>
      </c>
      <c r="J4">
        <f>B4/I4*100</f>
        <v>0</v>
      </c>
    </row>
    <row r="5" spans="1:10" x14ac:dyDescent="0.2">
      <c r="A5" t="s">
        <v>5</v>
      </c>
      <c r="B5">
        <v>112.4</v>
      </c>
      <c r="I5">
        <v>7663.3</v>
      </c>
      <c r="J5">
        <f t="shared" ref="J5:J28" si="0">B5/I5*100</f>
        <v>1.4667310427622566</v>
      </c>
    </row>
    <row r="6" spans="1:10" x14ac:dyDescent="0.2">
      <c r="A6" t="s">
        <v>6</v>
      </c>
      <c r="B6">
        <v>7.3</v>
      </c>
      <c r="I6">
        <v>4948.1000000000004</v>
      </c>
      <c r="J6">
        <f t="shared" si="0"/>
        <v>0.14753137567955374</v>
      </c>
    </row>
    <row r="7" spans="1:10" x14ac:dyDescent="0.2">
      <c r="A7" t="s">
        <v>7</v>
      </c>
      <c r="B7">
        <v>402.3</v>
      </c>
      <c r="I7">
        <v>6163.1</v>
      </c>
      <c r="J7">
        <f t="shared" si="0"/>
        <v>6.527559182878746</v>
      </c>
    </row>
    <row r="8" spans="1:10" x14ac:dyDescent="0.2">
      <c r="A8" t="s">
        <v>8</v>
      </c>
      <c r="B8">
        <v>19</v>
      </c>
      <c r="I8">
        <v>8725.2999999999993</v>
      </c>
      <c r="J8">
        <f t="shared" si="0"/>
        <v>0.21775755561413362</v>
      </c>
    </row>
    <row r="9" spans="1:10" x14ac:dyDescent="0.2">
      <c r="A9" t="s">
        <v>9</v>
      </c>
      <c r="B9">
        <v>40.1</v>
      </c>
      <c r="I9">
        <v>12047.7</v>
      </c>
      <c r="J9">
        <f t="shared" si="0"/>
        <v>0.33284361330378415</v>
      </c>
    </row>
    <row r="10" spans="1:10" x14ac:dyDescent="0.2">
      <c r="A10" t="s">
        <v>10</v>
      </c>
      <c r="I10" t="s">
        <v>39</v>
      </c>
    </row>
    <row r="11" spans="1:10" x14ac:dyDescent="0.2">
      <c r="A11" t="s">
        <v>11</v>
      </c>
      <c r="B11">
        <v>115.3</v>
      </c>
      <c r="I11">
        <v>12278.1</v>
      </c>
      <c r="J11">
        <f t="shared" si="0"/>
        <v>0.93907037733851317</v>
      </c>
    </row>
    <row r="12" spans="1:10" x14ac:dyDescent="0.2">
      <c r="A12" t="s">
        <v>12</v>
      </c>
      <c r="B12">
        <v>0.7</v>
      </c>
      <c r="I12">
        <v>4821.1000000000004</v>
      </c>
      <c r="J12">
        <f t="shared" si="0"/>
        <v>1.4519507996100474E-2</v>
      </c>
    </row>
    <row r="13" spans="1:10" x14ac:dyDescent="0.2">
      <c r="A13" t="s">
        <v>13</v>
      </c>
      <c r="B13">
        <v>4</v>
      </c>
      <c r="I13">
        <v>5630.7</v>
      </c>
      <c r="J13">
        <f t="shared" si="0"/>
        <v>7.1039124797982495E-2</v>
      </c>
    </row>
    <row r="14" spans="1:10" x14ac:dyDescent="0.2">
      <c r="A14" t="s">
        <v>14</v>
      </c>
      <c r="B14">
        <v>82</v>
      </c>
      <c r="I14">
        <v>2064.1999999999998</v>
      </c>
      <c r="J14">
        <f t="shared" si="0"/>
        <v>3.9724832865032464</v>
      </c>
    </row>
    <row r="15" spans="1:10" x14ac:dyDescent="0.2">
      <c r="A15" t="s">
        <v>15</v>
      </c>
      <c r="B15">
        <v>212.9</v>
      </c>
      <c r="I15">
        <v>9115.5</v>
      </c>
      <c r="J15">
        <f t="shared" si="0"/>
        <v>2.3355822500137133</v>
      </c>
    </row>
    <row r="16" spans="1:10" x14ac:dyDescent="0.2">
      <c r="A16" t="s">
        <v>16</v>
      </c>
      <c r="B16">
        <v>155.80000000000001</v>
      </c>
      <c r="I16">
        <v>5602.5</v>
      </c>
      <c r="J16">
        <f t="shared" si="0"/>
        <v>2.7809013833110221</v>
      </c>
    </row>
    <row r="17" spans="1:10" x14ac:dyDescent="0.2">
      <c r="A17" t="s">
        <v>17</v>
      </c>
      <c r="B17">
        <v>27.6</v>
      </c>
      <c r="I17">
        <v>2056.6</v>
      </c>
      <c r="J17">
        <f t="shared" si="0"/>
        <v>1.3420208110473599</v>
      </c>
    </row>
    <row r="18" spans="1:10" x14ac:dyDescent="0.2">
      <c r="A18" t="s">
        <v>18</v>
      </c>
      <c r="B18">
        <v>166.3</v>
      </c>
      <c r="I18">
        <v>4251.3</v>
      </c>
      <c r="J18">
        <f t="shared" si="0"/>
        <v>3.911744642815139</v>
      </c>
    </row>
    <row r="19" spans="1:10" x14ac:dyDescent="0.2">
      <c r="A19" t="s">
        <v>19</v>
      </c>
      <c r="B19">
        <v>19.100000000000001</v>
      </c>
      <c r="I19">
        <v>445.5</v>
      </c>
      <c r="J19">
        <f t="shared" si="0"/>
        <v>4.2873176206509545</v>
      </c>
    </row>
    <row r="20" spans="1:10" x14ac:dyDescent="0.2">
      <c r="A20" t="s">
        <v>20</v>
      </c>
      <c r="B20">
        <v>6.4</v>
      </c>
      <c r="I20">
        <v>1293.5999999999999</v>
      </c>
      <c r="J20">
        <f t="shared" si="0"/>
        <v>0.49474335188620905</v>
      </c>
    </row>
    <row r="21" spans="1:10" x14ac:dyDescent="0.2">
      <c r="A21" t="s">
        <v>21</v>
      </c>
      <c r="B21">
        <v>99.8</v>
      </c>
      <c r="I21">
        <v>1265.0999999999999</v>
      </c>
      <c r="J21">
        <f t="shared" si="0"/>
        <v>7.8887044502410877</v>
      </c>
    </row>
    <row r="22" spans="1:10" x14ac:dyDescent="0.2">
      <c r="A22" t="s">
        <v>22</v>
      </c>
      <c r="I22">
        <v>2094.6999999999998</v>
      </c>
      <c r="J22">
        <f t="shared" si="0"/>
        <v>0</v>
      </c>
    </row>
    <row r="23" spans="1:10" x14ac:dyDescent="0.2">
      <c r="A23" t="s">
        <v>23</v>
      </c>
      <c r="B23">
        <v>170.6</v>
      </c>
      <c r="I23">
        <v>6624.5</v>
      </c>
      <c r="J23">
        <f t="shared" si="0"/>
        <v>2.5752887010340402</v>
      </c>
    </row>
    <row r="24" spans="1:10" x14ac:dyDescent="0.2">
      <c r="A24" t="s">
        <v>24</v>
      </c>
      <c r="B24">
        <v>42.4</v>
      </c>
      <c r="I24">
        <v>8827.7999999999993</v>
      </c>
      <c r="J24">
        <f t="shared" si="0"/>
        <v>0.48030086771336011</v>
      </c>
    </row>
    <row r="25" spans="1:10" x14ac:dyDescent="0.2">
      <c r="A25" t="s">
        <v>25</v>
      </c>
      <c r="B25">
        <v>0.1</v>
      </c>
      <c r="I25">
        <v>3475.7</v>
      </c>
      <c r="J25">
        <f t="shared" si="0"/>
        <v>2.8771182783324223E-3</v>
      </c>
    </row>
    <row r="26" spans="1:10" x14ac:dyDescent="0.2">
      <c r="A26" t="s">
        <v>26</v>
      </c>
      <c r="B26">
        <v>163.1</v>
      </c>
      <c r="I26">
        <v>1394.9</v>
      </c>
      <c r="J26">
        <f t="shared" si="0"/>
        <v>11.69259445121514</v>
      </c>
    </row>
    <row r="27" spans="1:10" x14ac:dyDescent="0.2">
      <c r="A27" t="s">
        <v>27</v>
      </c>
      <c r="B27">
        <v>9.3000000000000007</v>
      </c>
      <c r="I27">
        <v>567.29999999999995</v>
      </c>
      <c r="J27">
        <f t="shared" si="0"/>
        <v>1.639344262295082</v>
      </c>
    </row>
    <row r="28" spans="1:10" x14ac:dyDescent="0.2">
      <c r="A28" t="s">
        <v>28</v>
      </c>
      <c r="B28">
        <v>2.2999999999999998</v>
      </c>
      <c r="I28">
        <v>898.8</v>
      </c>
      <c r="J28">
        <f t="shared" si="0"/>
        <v>0.25589675122385402</v>
      </c>
    </row>
  </sheetData>
  <mergeCells count="7">
    <mergeCell ref="A1:A3"/>
    <mergeCell ref="B1:G1"/>
    <mergeCell ref="H1:H3"/>
    <mergeCell ref="I1:I3"/>
    <mergeCell ref="B2:B3"/>
    <mergeCell ref="C2:F2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7323-CE15-274C-B6FA-5DAA45935D74}">
  <dimension ref="A1:J28"/>
  <sheetViews>
    <sheetView workbookViewId="0">
      <selection sqref="A1:J28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30</v>
      </c>
      <c r="C1" s="2"/>
      <c r="D1" s="2"/>
      <c r="E1" s="2"/>
      <c r="F1" s="2"/>
      <c r="G1" s="2"/>
      <c r="H1" s="2" t="s">
        <v>37</v>
      </c>
      <c r="I1" s="2" t="s">
        <v>38</v>
      </c>
    </row>
    <row r="2" spans="1:10" x14ac:dyDescent="0.2">
      <c r="A2" s="2"/>
      <c r="B2" s="2" t="s">
        <v>29</v>
      </c>
      <c r="C2" s="2" t="s">
        <v>35</v>
      </c>
      <c r="D2" s="2"/>
      <c r="E2" s="2"/>
      <c r="F2" s="2"/>
      <c r="G2" s="2" t="s">
        <v>36</v>
      </c>
      <c r="H2" s="2"/>
      <c r="I2" s="2"/>
    </row>
    <row r="3" spans="1:10" x14ac:dyDescent="0.2">
      <c r="A3" s="2"/>
      <c r="B3" s="2"/>
      <c r="C3" t="s">
        <v>31</v>
      </c>
      <c r="D3" t="s">
        <v>32</v>
      </c>
      <c r="E3" t="s">
        <v>33</v>
      </c>
      <c r="F3" t="s">
        <v>34</v>
      </c>
      <c r="G3" s="2"/>
      <c r="H3" s="2"/>
      <c r="I3" s="2"/>
      <c r="J3" t="s">
        <v>40</v>
      </c>
    </row>
    <row r="4" spans="1:10" x14ac:dyDescent="0.2">
      <c r="A4" t="s">
        <v>4</v>
      </c>
      <c r="B4">
        <v>0</v>
      </c>
      <c r="I4">
        <v>1763.2</v>
      </c>
      <c r="J4">
        <f>B4/I4*100</f>
        <v>0</v>
      </c>
    </row>
    <row r="5" spans="1:10" x14ac:dyDescent="0.2">
      <c r="A5" t="s">
        <v>5</v>
      </c>
      <c r="B5">
        <v>126.3</v>
      </c>
      <c r="I5">
        <v>7633.1</v>
      </c>
      <c r="J5">
        <f t="shared" ref="J5:J28" si="0">B5/I5*100</f>
        <v>1.6546357312232252</v>
      </c>
    </row>
    <row r="6" spans="1:10" x14ac:dyDescent="0.2">
      <c r="A6" t="s">
        <v>6</v>
      </c>
      <c r="B6">
        <v>11.3</v>
      </c>
      <c r="I6">
        <v>5586.2</v>
      </c>
      <c r="J6">
        <f t="shared" si="0"/>
        <v>0.20228420035086464</v>
      </c>
    </row>
    <row r="7" spans="1:10" x14ac:dyDescent="0.2">
      <c r="A7" t="s">
        <v>7</v>
      </c>
      <c r="B7">
        <v>617.4</v>
      </c>
      <c r="I7">
        <v>7070.6</v>
      </c>
      <c r="J7">
        <f t="shared" si="0"/>
        <v>8.7319322264022858</v>
      </c>
    </row>
    <row r="8" spans="1:10" x14ac:dyDescent="0.2">
      <c r="A8" t="s">
        <v>8</v>
      </c>
      <c r="B8">
        <v>211.4</v>
      </c>
      <c r="I8">
        <v>8828.2999999999993</v>
      </c>
      <c r="J8">
        <f t="shared" si="0"/>
        <v>2.3945720014045739</v>
      </c>
    </row>
    <row r="9" spans="1:10" x14ac:dyDescent="0.2">
      <c r="A9" t="s">
        <v>9</v>
      </c>
      <c r="B9">
        <v>78.900000000000006</v>
      </c>
      <c r="I9">
        <v>12990.2</v>
      </c>
      <c r="J9">
        <f t="shared" si="0"/>
        <v>0.60738094871518533</v>
      </c>
    </row>
    <row r="10" spans="1:10" x14ac:dyDescent="0.2">
      <c r="A10" t="s">
        <v>10</v>
      </c>
      <c r="B10" t="s">
        <v>39</v>
      </c>
      <c r="I10" t="s">
        <v>39</v>
      </c>
    </row>
    <row r="11" spans="1:10" x14ac:dyDescent="0.2">
      <c r="A11" t="s">
        <v>11</v>
      </c>
      <c r="B11">
        <v>328.2</v>
      </c>
      <c r="I11">
        <v>12672.1</v>
      </c>
      <c r="J11">
        <f t="shared" si="0"/>
        <v>2.5899416829096991</v>
      </c>
    </row>
    <row r="12" spans="1:10" x14ac:dyDescent="0.2">
      <c r="A12" t="s">
        <v>12</v>
      </c>
      <c r="B12">
        <v>0.7</v>
      </c>
      <c r="I12">
        <v>4850.6000000000004</v>
      </c>
      <c r="J12">
        <f t="shared" si="0"/>
        <v>1.4431204387086134E-2</v>
      </c>
    </row>
    <row r="13" spans="1:10" x14ac:dyDescent="0.2">
      <c r="A13" t="s">
        <v>13</v>
      </c>
      <c r="B13">
        <v>129</v>
      </c>
      <c r="I13">
        <v>5822.2</v>
      </c>
      <c r="J13">
        <f t="shared" si="0"/>
        <v>2.2156573116691289</v>
      </c>
    </row>
    <row r="14" spans="1:10" x14ac:dyDescent="0.2">
      <c r="A14" t="s">
        <v>14</v>
      </c>
      <c r="B14">
        <v>210.2</v>
      </c>
      <c r="I14">
        <v>2266.6</v>
      </c>
      <c r="J14">
        <f t="shared" si="0"/>
        <v>9.2738021706520772</v>
      </c>
    </row>
    <row r="15" spans="1:10" x14ac:dyDescent="0.2">
      <c r="A15" t="s">
        <v>15</v>
      </c>
      <c r="B15">
        <v>339.7</v>
      </c>
      <c r="I15">
        <v>9141.6</v>
      </c>
      <c r="J15">
        <f t="shared" si="0"/>
        <v>3.7159796972083656</v>
      </c>
    </row>
    <row r="16" spans="1:10" x14ac:dyDescent="0.2">
      <c r="A16" t="s">
        <v>16</v>
      </c>
      <c r="B16">
        <v>161.9</v>
      </c>
      <c r="I16">
        <v>5605.6</v>
      </c>
      <c r="J16">
        <f t="shared" si="0"/>
        <v>2.8881832453261023</v>
      </c>
    </row>
    <row r="17" spans="1:10" x14ac:dyDescent="0.2">
      <c r="A17" t="s">
        <v>17</v>
      </c>
      <c r="B17">
        <v>27.6</v>
      </c>
      <c r="I17">
        <v>2055.6999999999998</v>
      </c>
      <c r="J17">
        <f t="shared" si="0"/>
        <v>1.3426083572505718</v>
      </c>
    </row>
    <row r="18" spans="1:10" x14ac:dyDescent="0.2">
      <c r="A18" t="s">
        <v>18</v>
      </c>
      <c r="B18">
        <v>160</v>
      </c>
      <c r="I18">
        <v>4314.5</v>
      </c>
      <c r="J18">
        <f t="shared" si="0"/>
        <v>3.7084250782245913</v>
      </c>
    </row>
    <row r="19" spans="1:10" x14ac:dyDescent="0.2">
      <c r="A19" t="s">
        <v>19</v>
      </c>
      <c r="B19">
        <v>60.6</v>
      </c>
      <c r="I19">
        <v>454.3</v>
      </c>
      <c r="J19">
        <f t="shared" si="0"/>
        <v>13.339203169711645</v>
      </c>
    </row>
    <row r="20" spans="1:10" x14ac:dyDescent="0.2">
      <c r="A20" t="s">
        <v>20</v>
      </c>
      <c r="B20">
        <v>6.4</v>
      </c>
      <c r="I20">
        <v>1293.5999999999999</v>
      </c>
      <c r="J20">
        <f t="shared" si="0"/>
        <v>0.49474335188620905</v>
      </c>
    </row>
    <row r="21" spans="1:10" x14ac:dyDescent="0.2">
      <c r="A21" t="s">
        <v>21</v>
      </c>
      <c r="B21">
        <v>109.6</v>
      </c>
      <c r="I21">
        <v>1563.5</v>
      </c>
      <c r="J21">
        <f t="shared" si="0"/>
        <v>7.0099136552606325</v>
      </c>
    </row>
    <row r="22" spans="1:10" x14ac:dyDescent="0.2">
      <c r="A22" t="s">
        <v>22</v>
      </c>
      <c r="B22">
        <v>13.3</v>
      </c>
      <c r="I22">
        <v>2098.5</v>
      </c>
      <c r="J22">
        <f t="shared" si="0"/>
        <v>0.63378603764593755</v>
      </c>
    </row>
    <row r="23" spans="1:10" x14ac:dyDescent="0.2">
      <c r="A23" t="s">
        <v>23</v>
      </c>
      <c r="B23">
        <v>333.3</v>
      </c>
      <c r="I23">
        <v>6567.4</v>
      </c>
      <c r="J23">
        <f t="shared" si="0"/>
        <v>5.0750677589304756</v>
      </c>
    </row>
    <row r="24" spans="1:10" x14ac:dyDescent="0.2">
      <c r="A24" t="s">
        <v>24</v>
      </c>
      <c r="B24">
        <v>86.3</v>
      </c>
      <c r="I24">
        <v>9260.5</v>
      </c>
      <c r="J24">
        <f t="shared" si="0"/>
        <v>0.93191512337346782</v>
      </c>
    </row>
    <row r="25" spans="1:10" x14ac:dyDescent="0.2">
      <c r="A25" t="s">
        <v>25</v>
      </c>
      <c r="B25">
        <v>2.5</v>
      </c>
      <c r="I25">
        <v>3809.5</v>
      </c>
      <c r="J25">
        <f t="shared" si="0"/>
        <v>6.5625410158813499E-2</v>
      </c>
    </row>
    <row r="26" spans="1:10" x14ac:dyDescent="0.2">
      <c r="A26" t="s">
        <v>26</v>
      </c>
      <c r="B26">
        <v>232.6</v>
      </c>
      <c r="I26">
        <v>1528.8</v>
      </c>
      <c r="J26">
        <f t="shared" si="0"/>
        <v>15.2145473574045</v>
      </c>
    </row>
    <row r="27" spans="1:10" x14ac:dyDescent="0.2">
      <c r="A27" t="s">
        <v>27</v>
      </c>
      <c r="B27">
        <v>14.4</v>
      </c>
      <c r="I27">
        <v>576.1</v>
      </c>
      <c r="J27">
        <f t="shared" si="0"/>
        <v>2.4995660475611872</v>
      </c>
    </row>
    <row r="28" spans="1:10" x14ac:dyDescent="0.2">
      <c r="A28" t="s">
        <v>28</v>
      </c>
      <c r="B28">
        <v>2.2999999999999998</v>
      </c>
      <c r="I28">
        <v>897.4</v>
      </c>
      <c r="J28">
        <f t="shared" si="0"/>
        <v>0.25629596612435923</v>
      </c>
    </row>
  </sheetData>
  <mergeCells count="7">
    <mergeCell ref="A1:A3"/>
    <mergeCell ref="B1:G1"/>
    <mergeCell ref="H1:H3"/>
    <mergeCell ref="I1:I3"/>
    <mergeCell ref="B2:B3"/>
    <mergeCell ref="C2:F2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BF9C-EA46-8445-95FE-8AF790B4FCEE}">
  <dimension ref="A1:J28"/>
  <sheetViews>
    <sheetView workbookViewId="0">
      <selection activeCell="B4" sqref="B4:B28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30</v>
      </c>
      <c r="C1" s="2"/>
      <c r="D1" s="2"/>
      <c r="E1" s="2"/>
      <c r="F1" s="2"/>
      <c r="G1" s="2"/>
      <c r="H1" s="2" t="s">
        <v>37</v>
      </c>
      <c r="I1" s="2" t="s">
        <v>38</v>
      </c>
    </row>
    <row r="2" spans="1:10" x14ac:dyDescent="0.2">
      <c r="A2" s="2"/>
      <c r="B2" s="2" t="s">
        <v>29</v>
      </c>
      <c r="C2" s="2" t="s">
        <v>35</v>
      </c>
      <c r="D2" s="2"/>
      <c r="E2" s="2"/>
      <c r="F2" s="2"/>
      <c r="G2" s="2" t="s">
        <v>36</v>
      </c>
      <c r="H2" s="2"/>
      <c r="I2" s="2"/>
    </row>
    <row r="3" spans="1:10" x14ac:dyDescent="0.2">
      <c r="A3" s="2"/>
      <c r="B3" s="2"/>
      <c r="C3" t="s">
        <v>31</v>
      </c>
      <c r="D3" t="s">
        <v>32</v>
      </c>
      <c r="E3" t="s">
        <v>33</v>
      </c>
      <c r="F3" t="s">
        <v>34</v>
      </c>
      <c r="G3" s="2"/>
      <c r="H3" s="2"/>
      <c r="I3" s="2"/>
      <c r="J3" t="s">
        <v>40</v>
      </c>
    </row>
    <row r="4" spans="1:10" x14ac:dyDescent="0.2">
      <c r="A4" t="s">
        <v>4</v>
      </c>
      <c r="B4">
        <v>0</v>
      </c>
      <c r="I4">
        <v>1870.3260000000002</v>
      </c>
      <c r="J4">
        <f>B4/I4*100</f>
        <v>0</v>
      </c>
    </row>
    <row r="5" spans="1:10" x14ac:dyDescent="0.2">
      <c r="A5" t="s">
        <v>5</v>
      </c>
      <c r="B5">
        <v>178.64499999999998</v>
      </c>
      <c r="I5">
        <v>7626.8080000000009</v>
      </c>
      <c r="J5">
        <f t="shared" ref="J5:J28" si="0">B5/I5*100</f>
        <v>2.3423298449364394</v>
      </c>
    </row>
    <row r="6" spans="1:10" x14ac:dyDescent="0.2">
      <c r="A6" t="s">
        <v>6</v>
      </c>
      <c r="B6">
        <v>125.67</v>
      </c>
      <c r="I6">
        <v>5627.4450000000015</v>
      </c>
      <c r="J6">
        <f t="shared" si="0"/>
        <v>2.2331626519672776</v>
      </c>
    </row>
    <row r="7" spans="1:10" x14ac:dyDescent="0.2">
      <c r="A7" t="s">
        <v>7</v>
      </c>
      <c r="B7">
        <v>617.48100000000022</v>
      </c>
      <c r="I7">
        <v>7060.1070000000018</v>
      </c>
      <c r="J7">
        <f t="shared" si="0"/>
        <v>8.7460572481408576</v>
      </c>
    </row>
    <row r="8" spans="1:10" x14ac:dyDescent="0.2">
      <c r="A8" t="s">
        <v>8</v>
      </c>
      <c r="B8">
        <v>229.89399999999995</v>
      </c>
      <c r="I8">
        <v>8935.982</v>
      </c>
      <c r="J8">
        <f t="shared" si="0"/>
        <v>2.5726775188222173</v>
      </c>
    </row>
    <row r="9" spans="1:10" x14ac:dyDescent="0.2">
      <c r="A9" t="s">
        <v>9</v>
      </c>
      <c r="B9">
        <v>244.28300000000002</v>
      </c>
      <c r="I9">
        <v>12973.300000000025</v>
      </c>
      <c r="J9">
        <f t="shared" si="0"/>
        <v>1.8829673251986738</v>
      </c>
    </row>
    <row r="10" spans="1:10" x14ac:dyDescent="0.2">
      <c r="A10" t="s">
        <v>10</v>
      </c>
      <c r="B10">
        <v>0</v>
      </c>
      <c r="I10">
        <v>0</v>
      </c>
    </row>
    <row r="11" spans="1:10" x14ac:dyDescent="0.2">
      <c r="A11" t="s">
        <v>11</v>
      </c>
      <c r="B11">
        <v>358.91900000000015</v>
      </c>
      <c r="I11">
        <v>12675.223000000011</v>
      </c>
      <c r="J11">
        <f t="shared" si="0"/>
        <v>2.8316582674719006</v>
      </c>
    </row>
    <row r="12" spans="1:10" x14ac:dyDescent="0.2">
      <c r="A12" t="s">
        <v>12</v>
      </c>
      <c r="B12">
        <v>22.15</v>
      </c>
      <c r="I12">
        <v>4854.7299999999987</v>
      </c>
      <c r="J12">
        <f t="shared" si="0"/>
        <v>0.45625606367398397</v>
      </c>
    </row>
    <row r="13" spans="1:10" x14ac:dyDescent="0.2">
      <c r="A13" t="s">
        <v>13</v>
      </c>
      <c r="B13">
        <v>146.95099999999999</v>
      </c>
      <c r="I13">
        <v>5832.0279999999993</v>
      </c>
      <c r="J13">
        <f t="shared" si="0"/>
        <v>2.5197238422037755</v>
      </c>
    </row>
    <row r="14" spans="1:10" x14ac:dyDescent="0.2">
      <c r="A14" t="s">
        <v>14</v>
      </c>
      <c r="B14">
        <v>216.15499999999994</v>
      </c>
      <c r="I14">
        <v>2268.58</v>
      </c>
      <c r="J14">
        <f t="shared" si="0"/>
        <v>9.5282070722654684</v>
      </c>
    </row>
    <row r="15" spans="1:10" x14ac:dyDescent="0.2">
      <c r="A15" t="s">
        <v>15</v>
      </c>
      <c r="B15">
        <v>339.66999999999996</v>
      </c>
      <c r="I15">
        <v>9159.4750000000058</v>
      </c>
      <c r="J15">
        <f t="shared" si="0"/>
        <v>3.7084003177037959</v>
      </c>
    </row>
    <row r="16" spans="1:10" x14ac:dyDescent="0.2">
      <c r="A16" t="s">
        <v>16</v>
      </c>
      <c r="B16">
        <v>285.97000000000003</v>
      </c>
      <c r="I16">
        <v>5652.3290000000015</v>
      </c>
      <c r="J16">
        <f t="shared" si="0"/>
        <v>5.0593304105263508</v>
      </c>
    </row>
    <row r="17" spans="1:10" x14ac:dyDescent="0.2">
      <c r="A17" t="s">
        <v>17</v>
      </c>
      <c r="B17">
        <v>36.338999999999999</v>
      </c>
      <c r="I17">
        <v>2063.4209999999998</v>
      </c>
      <c r="J17">
        <f t="shared" si="0"/>
        <v>1.7611044958832929</v>
      </c>
    </row>
    <row r="18" spans="1:10" x14ac:dyDescent="0.2">
      <c r="A18" t="s">
        <v>18</v>
      </c>
      <c r="B18">
        <v>160.04899999999998</v>
      </c>
      <c r="I18">
        <v>4323.3199999999988</v>
      </c>
      <c r="J18">
        <f t="shared" si="0"/>
        <v>3.7019929128540108</v>
      </c>
    </row>
    <row r="19" spans="1:10" x14ac:dyDescent="0.2">
      <c r="A19" t="s">
        <v>19</v>
      </c>
      <c r="B19">
        <v>60.63000000000001</v>
      </c>
      <c r="I19">
        <v>454.33</v>
      </c>
      <c r="J19">
        <f t="shared" si="0"/>
        <v>13.344925494684484</v>
      </c>
    </row>
    <row r="20" spans="1:10" x14ac:dyDescent="0.2">
      <c r="A20" t="s">
        <v>20</v>
      </c>
      <c r="B20">
        <v>32.983999999999995</v>
      </c>
      <c r="I20">
        <v>1301.607</v>
      </c>
      <c r="J20">
        <f t="shared" si="0"/>
        <v>2.5340982339523368</v>
      </c>
    </row>
    <row r="21" spans="1:10" x14ac:dyDescent="0.2">
      <c r="A21" t="s">
        <v>21</v>
      </c>
      <c r="B21">
        <v>152.96500000000006</v>
      </c>
      <c r="I21">
        <v>1559.251</v>
      </c>
      <c r="J21">
        <f t="shared" si="0"/>
        <v>9.8101588519103124</v>
      </c>
    </row>
    <row r="22" spans="1:10" x14ac:dyDescent="0.2">
      <c r="A22" t="s">
        <v>22</v>
      </c>
      <c r="B22">
        <v>13.381</v>
      </c>
      <c r="I22">
        <v>2090.8749999999995</v>
      </c>
      <c r="J22">
        <f t="shared" si="0"/>
        <v>0.63997130387995471</v>
      </c>
    </row>
    <row r="23" spans="1:10" x14ac:dyDescent="0.2">
      <c r="A23" t="s">
        <v>23</v>
      </c>
      <c r="B23">
        <v>379.81800000000015</v>
      </c>
      <c r="I23">
        <v>6548.4769999999999</v>
      </c>
      <c r="J23">
        <f t="shared" si="0"/>
        <v>5.8000967247804365</v>
      </c>
    </row>
    <row r="24" spans="1:10" x14ac:dyDescent="0.2">
      <c r="A24" t="s">
        <v>24</v>
      </c>
      <c r="B24">
        <v>142.935</v>
      </c>
      <c r="I24">
        <v>9244.4879999999976</v>
      </c>
      <c r="J24">
        <f t="shared" si="0"/>
        <v>1.5461645901860659</v>
      </c>
    </row>
    <row r="25" spans="1:10" x14ac:dyDescent="0.2">
      <c r="A25" t="s">
        <v>25</v>
      </c>
      <c r="B25">
        <v>122.08699999999999</v>
      </c>
      <c r="I25">
        <v>3820.1499999999983</v>
      </c>
      <c r="J25">
        <f t="shared" si="0"/>
        <v>3.1958692721490003</v>
      </c>
    </row>
    <row r="26" spans="1:10" x14ac:dyDescent="0.2">
      <c r="A26" t="s">
        <v>26</v>
      </c>
      <c r="B26">
        <v>235.99099999999993</v>
      </c>
      <c r="I26">
        <v>1533.4380000000001</v>
      </c>
      <c r="J26">
        <f t="shared" si="0"/>
        <v>15.389666879260844</v>
      </c>
    </row>
    <row r="27" spans="1:10" x14ac:dyDescent="0.2">
      <c r="A27" t="s">
        <v>27</v>
      </c>
      <c r="B27">
        <v>60.023000000000003</v>
      </c>
      <c r="I27">
        <v>584.13300000000015</v>
      </c>
      <c r="J27">
        <f t="shared" si="0"/>
        <v>10.275570803224605</v>
      </c>
    </row>
    <row r="28" spans="1:10" x14ac:dyDescent="0.2">
      <c r="A28" t="s">
        <v>28</v>
      </c>
      <c r="B28">
        <v>2.3200000000000003</v>
      </c>
      <c r="I28">
        <v>895.20200000000011</v>
      </c>
      <c r="J28">
        <f t="shared" si="0"/>
        <v>0.25915938525606513</v>
      </c>
    </row>
  </sheetData>
  <mergeCells count="7">
    <mergeCell ref="A1:A3"/>
    <mergeCell ref="B1:G1"/>
    <mergeCell ref="H1:H3"/>
    <mergeCell ref="I1:I3"/>
    <mergeCell ref="B2:B3"/>
    <mergeCell ref="C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PCT_PAV_VECINAL TOTAL</vt:lpstr>
      <vt:lpstr>PAV_VECINAL_2017</vt:lpstr>
      <vt:lpstr>PAV_VECINAL_2018</vt:lpstr>
      <vt:lpstr>PAV_VECINAL_2022</vt:lpstr>
      <vt:lpstr>PAV_VECINAL_2023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ZUNO</dc:creator>
  <cp:lastModifiedBy>Developer ZUNO</cp:lastModifiedBy>
  <dcterms:created xsi:type="dcterms:W3CDTF">2026-06-01T15:15:37Z</dcterms:created>
  <dcterms:modified xsi:type="dcterms:W3CDTF">2026-09-04T10:13:35Z</dcterms:modified>
</cp:coreProperties>
</file>